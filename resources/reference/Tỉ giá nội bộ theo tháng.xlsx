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FX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<sst xmlns="http://schemas.openxmlformats.org/spreadsheetml/2006/main" count="1" uniqueCount="1">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</sst>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#,##0.000"/>
    <numFmt numFmtId="165" formatCode="#,##0.000"/>
    <numFmt numFmtId="166" formatCode="0.00%"/>
    <numFmt numFmtId="167" formatCode="#,##0.000"/>
    <numFmt numFmtId="168" formatCode="#,##0.000"/>
    <numFmt numFmtId="169" formatCode="#,##0.000"/>
    <numFmt numFmtId="170" formatCode="#,##0"/>
    <numFmt numFmtId="171" formatCode="#,##0"/>
    <numFmt numFmtId="172" formatCode="#,##0"/>
    <numFmt numFmtId="173" formatCode="#,##0"/>
    <numFmt numFmtId="174" formatCode="#,##0"/>
  </numFmts>
  <fonts count="11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444444"/>
      <name val="Calibri"/>
      <family val="2"/>
      <scheme val="minor"/>
    </font>
    <font>
      <i val="true"/>
      <sz val="9"/>
      <color rgb="FF555555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9"/>
      <color rgb="FF999999"/>
      <name val="Calibri"/>
      <family val="2"/>
      <scheme val="minor"/>
    </font>
    <font>
      <b val="true"/>
      <sz val="13"/>
      <color rgb="FFFFFFFF"/>
      <name val="Calibri"/>
      <family val="2"/>
      <scheme val="minor"/>
    </font>
    <font>
      <b val="true"/>
      <sz val="10"/>
      <color rgb="FFFFFFFF"/>
      <name val="Calibri"/>
      <family val="2"/>
      <scheme val="minor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2EFDA"/>
        <bgColor/>
      </patternFill>
    </fill>
    <fill>
      <patternFill patternType="solid">
        <fgColor rgb="FFF2F2F2"/>
        <bgColor/>
      </patternFill>
    </fill>
    <fill>
      <patternFill patternType="solid">
        <fgColor rgb="FFE2EFDA"/>
        <bgColor/>
      </patternFill>
    </fill>
    <fill>
      <patternFill patternType="solid">
        <fgColor rgb="FFE2EFDA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2F2F2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  <fill>
      <patternFill patternType="solid">
        <fgColor rgb="FFE2EFDA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DEEAF1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2E75B6"/>
        <bgColor/>
      </patternFill>
    </fill>
    <fill>
      <patternFill patternType="solid">
        <fgColor rgb="FF2E75B6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true" applyFont="true" applyNumberFormat="true" applyProtection="false" borderId="2" fillId="2" fontId="2" numFmtId="165" xfId="0">
      <alignment vertical="center" wrapText="true"/>
    </xf>
    <xf applyAlignment="true" applyBorder="false" applyFill="true" applyFont="true" applyNumberFormat="false" applyProtection="false" borderId="3" fillId="3" fontId="3" numFmtId="0" xfId="0">
      <alignment vertical="center" wrapText="true"/>
    </xf>
    <xf applyAlignment="true" applyBorder="false" applyFill="true" applyFont="true" applyNumberFormat="true" applyProtection="false" borderId="4" fillId="4" fontId="2" numFmtId="166" xfId="0">
      <alignment vertical="center" wrapText="true"/>
    </xf>
    <xf applyAlignment="true" applyBorder="false" applyFill="true" applyFont="true" applyNumberFormat="false" applyProtection="false" borderId="5" fillId="5" fontId="4" numFmtId="0" xfId="0">
      <alignment vertical="center" wrapText="true"/>
    </xf>
    <xf applyAlignment="true" applyBorder="false" applyFill="true" applyFont="true" applyNumberFormat="true" applyProtection="false" borderId="6" fillId="6" fontId="5" numFmtId="167" xfId="0">
      <alignment horizontal="center" vertical="center" wrapText="true"/>
    </xf>
    <xf applyAlignment="true" applyBorder="false" applyFill="true" applyFont="true" applyNumberFormat="true" applyProtection="false" borderId="7" fillId="7" fontId="2" numFmtId="168" xfId="0">
      <alignment vertical="center" wrapText="true"/>
    </xf>
    <xf applyAlignment="true" applyBorder="false" applyFill="true" applyFont="true" applyNumberFormat="false" applyProtection="false" borderId="8" fillId="8" fontId="6" numFmtId="0" xfId="0">
      <alignment vertical="center" wrapText="true"/>
    </xf>
    <xf applyAlignment="true" applyBorder="false" applyFill="true" applyFont="true" applyNumberFormat="true" applyProtection="false" borderId="9" fillId="9" fontId="7" numFmtId="169" xfId="0">
      <alignment horizontal="center" vertical="center" wrapText="true"/>
    </xf>
    <xf applyAlignment="true" applyBorder="false" applyFill="true" applyFont="true" applyNumberFormat="true" applyProtection="false" borderId="10" fillId="10" fontId="8" numFmtId="170" xfId="0">
      <alignment horizontal="center" vertical="center" wrapText="true"/>
    </xf>
    <xf applyAlignment="true" applyBorder="false" applyFill="true" applyFont="true" applyNumberFormat="true" applyProtection="false" borderId="11" fillId="11" fontId="5" numFmtId="171" xfId="0">
      <alignment horizontal="center" vertical="center" wrapText="true"/>
    </xf>
    <xf applyAlignment="true" applyBorder="false" applyFill="true" applyFont="true" applyNumberFormat="true" applyProtection="false" borderId="12" fillId="12" fontId="2" numFmtId="172" xfId="0">
      <alignment vertical="center" wrapText="true"/>
    </xf>
    <xf applyAlignment="true" applyBorder="false" applyFill="true" applyFont="true" applyNumberFormat="true" applyProtection="false" borderId="13" fillId="13" fontId="2" numFmtId="173" xfId="0">
      <alignment vertical="center" wrapText="true"/>
    </xf>
    <xf applyAlignment="true" applyBorder="false" applyFill="true" applyFont="true" applyNumberFormat="true" applyProtection="false" borderId="14" fillId="14" fontId="7" numFmtId="174" xfId="0">
      <alignment horizontal="center" vertical="center" wrapText="true"/>
    </xf>
    <xf applyAlignment="true" applyBorder="false" applyFill="true" applyFont="true" applyNumberFormat="false" applyProtection="false" borderId="15" fillId="15" fontId="2" numFmtId="0" xfId="0">
      <alignment vertical="center" wrapText="true"/>
    </xf>
    <xf applyAlignment="true" applyBorder="false" applyFill="true" applyFont="true" applyNumberFormat="false" applyProtection="false" borderId="16" fillId="16" fontId="9" numFmtId="0" xfId="0">
      <alignment horizontal="center" vertical="center" wrapText="true"/>
    </xf>
    <xf applyAlignment="true" applyBorder="false" applyFill="true" applyFont="true" applyNumberFormat="false" applyProtection="false" borderId="17" fillId="17" fontId="10" numFmtId="0" xfId="0">
      <alignment vertical="center" wrapText="true"/>
    </xf>
    <xf applyAlignment="true" applyBorder="false" applyFill="true" applyFont="true" applyNumberFormat="false" applyProtection="false" borderId="18" fillId="18" fontId="10" numFmtId="0" xfId="0">
      <alignment horizontal="center" vertical="center" wrapText="true"/>
    </xf>
    <xf applyAlignment="true" applyBorder="false" applyFill="true" applyFont="true" applyNumberFormat="false" applyProtection="false" borderId="19" fillId="19" fontId="10" numFmtId="0" xfId="0">
      <alignment horizontal="center" vertical="center" wrapText="true"/>
    </xf>
    <xf applyAlignment="true" applyBorder="false" applyFill="false" applyFont="true" applyNumberFormat="false" applyProtection="false" borderId="20" fillId="0" fontId="2" numFmtId="0" xfId="0">
      <alignment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4" xSplit="2" ySplit="3"/>
    </sheetView>
  </sheetViews>
  <sheetFormatPr defaultColWidth="14" defaultRowHeight="19"/>
  <cols>
    <col collapsed="false" customWidth="true" hidden="false" max="3" min="3" style="0" width="14"/>
    <col collapsed="false" customWidth="true" hidden="true" max="3" min="3" style="0" width="14"/>
    <col collapsed="false" customWidth="true" hidden="false" max="4" min="4" style="0" width="14"/>
    <col collapsed="false" customWidth="true" hidden="true" max="4" min="4" style="0" width="14"/>
    <col collapsed="false" customWidth="true" hidden="false" max="5" min="5" style="0" width="14"/>
    <col collapsed="false" customWidth="true" hidden="true" max="5" min="5" style="0" width="14"/>
    <col collapsed="false" customWidth="true" hidden="false" max="6" min="6" style="0" width="14"/>
    <col collapsed="false" customWidth="true" hidden="true" max="6" min="6" style="0" width="14"/>
    <col collapsed="false" customWidth="true" hidden="false" max="7" min="7" style="0" width="14"/>
    <col collapsed="false" customWidth="true" hidden="tru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</cols>
  <sheetData>
    <row r="1">
      <c r="A1" s="16" t="str">
        <v>BẢNG TỶ GIÁ NGOẠI TỆ HÀNG THÁNG (1 USD = X đơn vị ngoại tệ)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tr">
        <v>Pháp Nhân</v>
      </c>
      <c r="B3" s="18" t="str">
        <v>Chỉ Tiêu</v>
      </c>
      <c r="C3" s="18" t="str">
        <v>T01/2026</v>
      </c>
      <c r="D3" s="18" t="str">
        <v>T02/2026</v>
      </c>
      <c r="E3" s="18" t="str">
        <v>T03/2026</v>
      </c>
      <c r="F3" s="18" t="str">
        <v>T04/2026</v>
      </c>
      <c r="G3" s="18" t="str">
        <v>T05/2026</v>
      </c>
      <c r="H3" s="18" t="str">
        <v>T06/2026</v>
      </c>
      <c r="I3" s="18" t="str">
        <v>T07/2026</v>
      </c>
      <c r="J3" s="18" t="str">
        <v>T08/2026</v>
      </c>
      <c r="K3" s="18" t="str">
        <v>T09/2026</v>
      </c>
      <c r="L3" s="18" t="str">
        <v>T10/2026</v>
      </c>
      <c r="M3" s="18" t="str">
        <v>T11/2026</v>
      </c>
      <c r="N3" s="18" t="str">
        <v>T12/2026</v>
      </c>
      <c r="O3" s="18" t="str">
        <v>T01/2027</v>
      </c>
      <c r="P3" s="18" t="str">
        <v>T02/2027</v>
      </c>
      <c r="Q3" s="18" t="str">
        <v>T03/2027</v>
      </c>
      <c r="R3" s="18" t="str">
        <v>T04/2027</v>
      </c>
      <c r="S3" s="18" t="str">
        <v>T05/2027</v>
      </c>
      <c r="T3" s="18" t="str">
        <v>T06/2027</v>
      </c>
      <c r="U3" s="18" t="str">
        <v>T07/2027</v>
      </c>
      <c r="V3" s="18" t="str">
        <v>T08/2027</v>
      </c>
      <c r="W3" s="18" t="str">
        <v>T09/2027</v>
      </c>
      <c r="X3" s="18" t="str">
        <v>T10/2027</v>
      </c>
      <c r="Y3" s="18" t="str">
        <v>T11/2027</v>
      </c>
      <c r="Z3" s="18" t="str">
        <v>T12/2027</v>
      </c>
    </row>
    <row r="4">
      <c r="A4" s="17" t="str">
        <v>▸ Gohub JSC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3" t="str">
        <v>Gohub JSC - USD</v>
      </c>
      <c r="B5" s="8" t="str">
        <v>Tỷ giá VND/USD</v>
      </c>
      <c r="C5" s="13"/>
      <c r="D5" s="13"/>
      <c r="E5" s="13"/>
      <c r="F5" s="14">
        <v>26360</v>
      </c>
      <c r="G5" s="14">
        <v>26368</v>
      </c>
      <c r="H5" s="14">
        <v>26394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3"/>
      <c r="B6" s="5" t="str" xml:space="preserve">
        <v> ↳ Biến động MoM (%)</v>
      </c>
      <c r="C6" s="10" t="str">
        <v>-</v>
      </c>
      <c r="D6" s="12"/>
      <c r="E6" s="12"/>
      <c r="F6" s="11" t="str">
        <v>-</v>
      </c>
      <c r="G6" s="4">
        <f>(G5-F5)/F5</f>
      </c>
      <c r="H6" s="4">
        <f>(H5-G5)/G5</f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customHeight="true" ht="33" r="7">
      <c r="A7" s="3" t="str">
        <v>Gohub JSC - CNY</v>
      </c>
      <c r="B7" s="8" t="str">
        <v>Tỷ giá VND/CNY</v>
      </c>
      <c r="C7" s="13"/>
      <c r="D7" s="13"/>
      <c r="E7" s="13"/>
      <c r="F7" s="14">
        <v>3911</v>
      </c>
      <c r="G7" s="14">
        <v>3940</v>
      </c>
      <c r="H7" s="14">
        <v>3970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customHeight="true" ht="33" r="8">
      <c r="A8" s="3"/>
      <c r="B8" s="5" t="str" xml:space="preserve">
        <v> ↳ Biến động MoM (%)</v>
      </c>
      <c r="C8" s="10"/>
      <c r="D8" s="12"/>
      <c r="E8" s="12"/>
      <c r="F8" s="11"/>
      <c r="G8" s="4">
        <f>(G7-F7)/F7</f>
      </c>
      <c r="H8" s="4">
        <f>(H7-G7)/G7</f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customHeight="true" ht="33" r="9">
      <c r="A9" s="3" t="str">
        <v>Gohub JSC - GBP</v>
      </c>
      <c r="B9" s="8" t="str">
        <v>Tỷ giá VND/GBP</v>
      </c>
      <c r="C9" s="13"/>
      <c r="D9" s="13"/>
      <c r="E9" s="13"/>
      <c r="F9" s="14">
        <v>35606</v>
      </c>
      <c r="G9" s="14">
        <v>36402</v>
      </c>
      <c r="H9" s="14">
        <v>35957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customHeight="true" ht="33" r="10">
      <c r="A10" s="3"/>
      <c r="B10" s="5" t="str" xml:space="preserve">
        <v> ↳ Biến động MoM (%)</v>
      </c>
      <c r="C10" s="10"/>
      <c r="D10" s="12"/>
      <c r="E10" s="12"/>
      <c r="F10" s="11"/>
      <c r="G10" s="4">
        <f>(G9-F9)/F9</f>
      </c>
      <c r="H10" s="4">
        <f>(H9-G9)/G9</f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7" t="str">
        <v>▸ Gohub Inc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3" t="str">
        <v>Gohub Inc - HKD</v>
      </c>
      <c r="B13" s="8" t="str">
        <v>Tỷ giá HKD/USD</v>
      </c>
      <c r="C13" s="7"/>
      <c r="D13" s="7"/>
      <c r="E13" s="7"/>
      <c r="F13" s="9">
        <v>7.797</v>
      </c>
      <c r="G13" s="9">
        <v>7.794</v>
      </c>
      <c r="H13" s="9">
        <v>7.798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/>
      <c r="B14" s="5" t="str" xml:space="preserve">
        <v> ↳ Biến động MoM (%)</v>
      </c>
      <c r="C14" s="2"/>
      <c r="D14" s="2"/>
      <c r="E14" s="2"/>
      <c r="F14" s="6" t="str">
        <v>-</v>
      </c>
      <c r="G14" s="4">
        <f>(G13-F13)/F13</f>
      </c>
      <c r="H14" s="4">
        <f>(H13-G13)/G13</f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tr">
        <v>Gohub Inc - JPY</v>
      </c>
      <c r="B15" s="8" t="str">
        <v>Tỷ giá JPY/USD</v>
      </c>
      <c r="C15" s="7"/>
      <c r="D15" s="7"/>
      <c r="E15" s="7"/>
      <c r="F15" s="9">
        <v>158.99</v>
      </c>
      <c r="G15" s="9">
        <v>156.432</v>
      </c>
      <c r="H15" s="9">
        <v>158.916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/>
      <c r="B16" s="5" t="str" xml:space="preserve">
        <v> ↳ Biến động MoM (%)</v>
      </c>
      <c r="C16" s="2"/>
      <c r="D16" s="2"/>
      <c r="E16" s="2"/>
      <c r="F16" s="6" t="str">
        <v>-</v>
      </c>
      <c r="G16" s="4">
        <f>(G15-F15)/F15</f>
      </c>
      <c r="H16" s="4">
        <f>(H15-G15)/G15</f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tr">
        <v>Gohub Inc - THB</v>
      </c>
      <c r="B17" s="8" t="str">
        <v>Tỷ giá THB/USD</v>
      </c>
      <c r="C17" s="7"/>
      <c r="D17" s="7"/>
      <c r="E17" s="7"/>
      <c r="F17" s="9">
        <v>32.226</v>
      </c>
      <c r="G17" s="9">
        <v>32.472</v>
      </c>
      <c r="H17" s="9">
        <v>32.204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/>
      <c r="B18" s="5" t="str" xml:space="preserve">
        <v> ↳ Biến động MoM (%)</v>
      </c>
      <c r="C18" s="2"/>
      <c r="D18" s="2"/>
      <c r="E18" s="2"/>
      <c r="F18" s="6" t="str">
        <v>-</v>
      </c>
      <c r="G18" s="4">
        <f>(G17-F17)/F17</f>
      </c>
      <c r="H18" s="4">
        <f>(H17-G17)/G17</f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tr">
        <v>Gohub Inc - CNY</v>
      </c>
      <c r="B19" s="8" t="str">
        <v>Tỷ giá CNY/USD</v>
      </c>
      <c r="C19" s="7"/>
      <c r="D19" s="7"/>
      <c r="E19" s="7"/>
      <c r="F19" s="9">
        <v>6.842</v>
      </c>
      <c r="G19" s="9">
        <v>6.799</v>
      </c>
      <c r="H19" s="9">
        <v>6.727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/>
      <c r="B20" s="5" t="str" xml:space="preserve">
        <v> ↳ Biến động MoM (%)</v>
      </c>
      <c r="C20" s="2"/>
      <c r="D20" s="2"/>
      <c r="E20" s="2"/>
      <c r="F20" s="6" t="str">
        <v>-</v>
      </c>
      <c r="G20" s="4">
        <f>(G19-F19)/F19</f>
      </c>
      <c r="H20" s="4">
        <f>(H19-G19)/G19</f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tr">
        <v>Gohub Inc - EUR</v>
      </c>
      <c r="B21" s="8" t="str">
        <v>Tỷ giá EUR/USD</v>
      </c>
      <c r="C21" s="7"/>
      <c r="D21" s="7"/>
      <c r="E21" s="7"/>
      <c r="F21" s="9">
        <v>0.862</v>
      </c>
      <c r="G21" s="9">
        <v>0.849</v>
      </c>
      <c r="H21" s="9">
        <v>0.855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/>
      <c r="B22" s="5" t="str" xml:space="preserve">
        <v> ↳ Biến động MoM (%)</v>
      </c>
      <c r="C22" s="2"/>
      <c r="D22" s="2"/>
      <c r="E22" s="2"/>
      <c r="F22" s="6" t="str">
        <v>-</v>
      </c>
      <c r="G22" s="4">
        <f>(G21-F21)/F21</f>
      </c>
      <c r="H22" s="4">
        <f>(H21-G21)/G21</f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tr">
        <v>Gohub Inc - GBP</v>
      </c>
      <c r="B23" s="8" t="str">
        <v>Tỷ giá GBP/USD</v>
      </c>
      <c r="C23" s="7"/>
      <c r="D23" s="7"/>
      <c r="E23" s="7"/>
      <c r="F23" s="9">
        <v>0.752</v>
      </c>
      <c r="G23" s="9">
        <v>0.732</v>
      </c>
      <c r="H23" s="7">
        <v>0.739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/>
      <c r="B24" s="5" t="str" xml:space="preserve">
        <v> ↳ Biến động MoM (%)</v>
      </c>
      <c r="C24" s="2"/>
      <c r="D24" s="2"/>
      <c r="E24" s="2"/>
      <c r="F24" s="6" t="str">
        <v>-</v>
      </c>
      <c r="G24" s="4">
        <f>(G23-F23)/F23</f>
      </c>
      <c r="H24" s="4">
        <f>(H23-G23)/G23</f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tr">
        <v>Gohub Inc - SGD</v>
      </c>
      <c r="B25" s="8" t="str">
        <v>Tỷ giá SGD/USD</v>
      </c>
      <c r="C25" s="7"/>
      <c r="D25" s="7"/>
      <c r="E25" s="7"/>
      <c r="F25" s="9">
        <v>1.279</v>
      </c>
      <c r="G25" s="9">
        <v>1.267</v>
      </c>
      <c r="H25" s="9">
        <v>1.272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/>
      <c r="B26" s="5" t="str" xml:space="preserve">
        <v> ↳ Biến động MoM (%)</v>
      </c>
      <c r="C26" s="2"/>
      <c r="D26" s="2"/>
      <c r="E26" s="2"/>
      <c r="F26" s="6" t="str">
        <v>-</v>
      </c>
      <c r="G26" s="4">
        <f>(G25-F25)/F25</f>
      </c>
      <c r="H26" s="4">
        <f>(H25-G25)/G25</f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tr">
        <v>Gohub Inc - TWD</v>
      </c>
      <c r="B27" s="8" t="str">
        <v>Tỷ giá TWD/USD</v>
      </c>
      <c r="C27" s="7"/>
      <c r="D27" s="7"/>
      <c r="E27" s="7"/>
      <c r="F27" s="9">
        <v>31.59</v>
      </c>
      <c r="G27" s="9">
        <v>31.595</v>
      </c>
      <c r="H27" s="9">
        <v>31.452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"/>
      <c r="B28" s="5" t="str" xml:space="preserve">
        <v> ↳ Biến động MoM (%)</v>
      </c>
      <c r="C28" s="2"/>
      <c r="D28" s="2"/>
      <c r="E28" s="2"/>
      <c r="F28" s="6" t="str">
        <v>-</v>
      </c>
      <c r="G28" s="4">
        <f>(G27-F27)/F27</f>
      </c>
      <c r="H28" s="4">
        <f>(H27-G27)/G27</f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</sheetData>
  <mergeCells>
    <mergeCell ref="A1:Z1"/>
    <mergeCell ref="A2:Z2"/>
    <mergeCell ref="A4:Z4"/>
    <mergeCell ref="A5:A6"/>
    <mergeCell ref="A7:A8"/>
    <mergeCell ref="A12:Z12"/>
    <mergeCell ref="A13:A14"/>
    <mergeCell ref="A15:A16"/>
    <mergeCell ref="A17:A18"/>
    <mergeCell ref="A19:A20"/>
    <mergeCell ref="A21:A22"/>
    <mergeCell ref="A23:A24"/>
    <mergeCell ref="A25:A26"/>
    <mergeCell ref="A9:A10"/>
    <mergeCell ref="A27:A2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